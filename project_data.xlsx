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\Ikastekoa\5\NAEX\"/>
    </mc:Choice>
  </mc:AlternateContent>
  <xr:revisionPtr revIDLastSave="0" documentId="13_ncr:1_{102F7A96-C5A8-42A5-A6C8-AFBF363C53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1" l="1"/>
  <c r="G91" i="1"/>
</calcChain>
</file>

<file path=xl/sharedStrings.xml><?xml version="1.0" encoding="utf-8"?>
<sst xmlns="http://schemas.openxmlformats.org/spreadsheetml/2006/main" count="100" uniqueCount="100">
  <si>
    <t>32,4,8,1,B,Double,45,High,High,,,</t>
  </si>
  <si>
    <t>32,4,8,2,B,Double,45,High,High,,,</t>
  </si>
  <si>
    <t>32,4,8,3,B,Double,45,High,High,,,</t>
  </si>
  <si>
    <t>Plane_Type,Mass_Level,Launch_Angle_deg,Launch_Height,Throw_Speed,Config_ID,Day,Order_in_Day,Replicate,Radial_Distance_m,Trajectory_Angle_deg,Notes</t>
  </si>
  <si>
    <t>B,Normal,45,High,Low,23,1,1,1,442,119,</t>
  </si>
  <si>
    <t>B,Normal,45,High,Low,23,1,1,2,171.76,160,</t>
  </si>
  <si>
    <t>B,Normal,45,High,Low,23,1,1,3,395.82,116,</t>
  </si>
  <si>
    <t>A,Double,45,High,Low,15,1,2,1,361,884,9,</t>
  </si>
  <si>
    <t>A,Double,45,High,Low,15,1,2,2,509.902,12,</t>
  </si>
  <si>
    <t>A,Double,45,High,Low,15,1,2,3,241.197,3,</t>
  </si>
  <si>
    <t>A,Double,0,High,High,12,1,3,1,529.0293,9,</t>
  </si>
  <si>
    <t>A,Double,0,High,High,12,1,3,2,543.720591,20,</t>
  </si>
  <si>
    <t>A,Double,0,High,High,12,1,3,3,520.5689,24,</t>
  </si>
  <si>
    <t>B,Double,0,High,Low,27,1,4,1,304.4208,2,</t>
  </si>
  <si>
    <t>B,Double,0,High,Low,27,1,4,2,164.1463,30,</t>
  </si>
  <si>
    <t>B,Double,0,High,Low,27,1,4,3,124.0645,16,</t>
  </si>
  <si>
    <t>A,Double,0,High,Low,11,1,5,1,356.2022,33,</t>
  </si>
  <si>
    <t>A,Double,0,High,Low,11,1,5,2,488.2622,12,</t>
  </si>
  <si>
    <t>A,Double,0,High,Low,11,1,5,3,379.0514,6,</t>
  </si>
  <si>
    <t>B,Normal,0,Low,Low,17,1,6,1,260.2768,30,</t>
  </si>
  <si>
    <t>B,Normal,0,Low,Low,17,1,6,2,229.0581,58,</t>
  </si>
  <si>
    <t>B,Normal,0,Low,Low,17,1,6,3,318.8479,4,</t>
  </si>
  <si>
    <t>A,Normal,0,High,Low,3,1,7,1,360.1111,9,</t>
  </si>
  <si>
    <t>A,Normal,0,High,Low,3,1,7,2,561.7259,3,</t>
  </si>
  <si>
    <t>A,Normal,0,High,Low,3,1,7,3,402.6313,16,</t>
  </si>
  <si>
    <t>B,Double,45,Low,Low,29,1,8,1,169.7999,8</t>
  </si>
  <si>
    <t>B,Double,45,Low,Low,29,1,8,2,112.0714,2,</t>
  </si>
  <si>
    <t>B,Double,45,Low,Low,29,1,8,3,101.1929,10,</t>
  </si>
  <si>
    <t>A,Normal,0,Low,High,2,2,2,1,371.6558,6,</t>
  </si>
  <si>
    <t>A,Normal,0,Low,High,2,2,2,2,364.7909,4,</t>
  </si>
  <si>
    <t>A,Normal,0,Low,High,2,2,2,3,355.4603,9,</t>
  </si>
  <si>
    <t>A,Double,45,Low,High,14,2,1,1,429,1946,1,</t>
  </si>
  <si>
    <t>A,Double,45,Low,High,14,2,1,2,336.6185,5,</t>
  </si>
  <si>
    <t>A,Double,45,Low,High,14,2,1,3,450.7949,1,</t>
  </si>
  <si>
    <t>A,Double,45,High,High,16,2,3,1,728.011,17,</t>
  </si>
  <si>
    <t>A,Double,45,High,High,16,2,3,2,436,6601,2,</t>
  </si>
  <si>
    <t>A,Double,45,High,High,16,2,3,3,868.4515,1,</t>
  </si>
  <si>
    <t>B,Double,45,High,High,32,2,4,1,422.8525,43,</t>
  </si>
  <si>
    <t>B,Double,45,High,High,32,2,4,2,228.5607,2,</t>
  </si>
  <si>
    <t>B,Double,45,High,High,32,2,4,3,100,32,</t>
  </si>
  <si>
    <t>B,Double,45,High,Low,31,2,5,1,156.205,3,</t>
  </si>
  <si>
    <t>B,Double,45,High,Low,31,2,5,2,107.7033,10,</t>
  </si>
  <si>
    <t>B,Double,45,High,Low,31,2,5,3,112.2854,2,</t>
  </si>
  <si>
    <t>B,Double,0,High,High,28,2,6,1,180,0,</t>
  </si>
  <si>
    <t>B,Double,0,High,High,28,2,6,2,224.3212,1,</t>
  </si>
  <si>
    <t>B,Double,0,High,High,28,2,6,3,136,0,</t>
  </si>
  <si>
    <t>B,Normal,0,High,High,20,2,7,1,388.3298,45,</t>
  </si>
  <si>
    <t>B,Normal,0,High,High,20,2,7,2,290.2413,70,</t>
  </si>
  <si>
    <t>B,Normal,0,High,High,20,2,7,3,267.3724,40,</t>
  </si>
  <si>
    <t>B,Normal,0,High,Low,19,2,8,1,275.768,20,</t>
  </si>
  <si>
    <t>B,Normal,0,High,Low,19,2,8,2,306.6464,122,</t>
  </si>
  <si>
    <t>B,Normal,0,High,Low,19,2,8,3,557.8387,60,</t>
  </si>
  <si>
    <t>A,Double,0,Low,Low,9,3,1,1,411.3587,12,</t>
  </si>
  <si>
    <t>A,Double,0,Low,Low,9,3,1,2,304.2367,20,</t>
  </si>
  <si>
    <t>A,Double,0,Low,Low,9,3,1,3,500.144,2,</t>
  </si>
  <si>
    <t>A,Normal,45,High,Low,7,3,2,1,417.229,6,</t>
  </si>
  <si>
    <t>A,Normal,45,High,Low,7,3,2,2,510.1372,19,</t>
  </si>
  <si>
    <t>A,Normal,45,High,Low,7,3,2,3,181.593,7,</t>
  </si>
  <si>
    <t>A,Normal,0,High,High,4,3,3,1,620.967,15,</t>
  </si>
  <si>
    <t>A,Normal,0,High,High,4,3,3,2,603.1385,17,</t>
  </si>
  <si>
    <t>A,Normal,0,High,High,4,3,3,3,528,0,</t>
  </si>
  <si>
    <t>B,Double,0,Low,High,26,3,4,1,178.8854,6,</t>
  </si>
  <si>
    <t>B,Double,0,Low,High,26,3,4,2,307.8701,20,</t>
  </si>
  <si>
    <t>B,Double,0,Low,High,26,3,4,3,203,8431,10,</t>
  </si>
  <si>
    <t>A,Double,45,Low,Low,13,3,5,1,407.8039,10,</t>
  </si>
  <si>
    <t>A,Double,45,Low,Low,13,3,5,2,431.7407,34,</t>
  </si>
  <si>
    <t>A,Double,45,Low,Low,13,3,5,3,438.3606,14,</t>
  </si>
  <si>
    <t>B,Double,0,Low,Low,25,3,6,1,140.684,8,</t>
  </si>
  <si>
    <t>B,Double,0,Low,Low,25,3,6,2,180.7097,3,</t>
  </si>
  <si>
    <t>B,Double,0,Low,Low,25,3,6,3,183.5211,10,</t>
  </si>
  <si>
    <t>B,Normal,0,Low,High,18,3,7,2,40,43,</t>
  </si>
  <si>
    <t>B,Normal,0,Low,High,18,3,7,1,265.9325,4,</t>
  </si>
  <si>
    <t>B,Normal,0,Low,High,18,3,7,3,571.4963,30,</t>
  </si>
  <si>
    <t>A,Normal,45,Low,Low,5,3,8,1,397.4516,18,</t>
  </si>
  <si>
    <t>A,Normal,45,Low,Low,5,3,8,2,436.5684,5,</t>
  </si>
  <si>
    <t>A,Normal,45,Low,Low,5,3,8,3,408,14,</t>
  </si>
  <si>
    <t>A,Normal,45,High,High,8,4,1,1,345.1377,30,</t>
  </si>
  <si>
    <t>A,Normal,45,High,High,8,4,1,2,604.4369,5,</t>
  </si>
  <si>
    <t>A,Normal,45,High,High,8,4,1,3,649.5537,20,</t>
  </si>
  <si>
    <t>A,Normal,0,Low,Low,1,4,2,1,352.9306,11,</t>
  </si>
  <si>
    <t>A,Normal,0,Low,Low,1,4,2,2,299.8133,6,</t>
  </si>
  <si>
    <t>A,Normal,0,Low,Low,1,4,2,3,302.7606,11,</t>
  </si>
  <si>
    <t>B,Normal,45,High,High,24,4,3,1,800.7696,17,</t>
  </si>
  <si>
    <t>B,Normal,45,High,High,24,4,3,2,300,90,</t>
  </si>
  <si>
    <t>B,Normal,45,High,High,24,4,3,3,761.1045,103,</t>
  </si>
  <si>
    <t>B,Normal,45,Low,Low,21,4,4,1,526.9383,4,</t>
  </si>
  <si>
    <t>B,Normal,45,Low,Low,21,4,4,2,45.60702,43,</t>
  </si>
  <si>
    <t>B,Normal,45,Low,Low,21,4,4,3,54.27128,160,</t>
  </si>
  <si>
    <t>A,Normal,45,Low,High,6,4,5,1,570.5436,12,</t>
  </si>
  <si>
    <t>A,Normal,45,Low,High,6,4,5,2,504.3967,1,</t>
  </si>
  <si>
    <t>A,Normal,45,Low,High,6,4,5,3,420.7612,29,</t>
  </si>
  <si>
    <t>A,Double,0,Low,High,10,4,6,1,308.4153,4,</t>
  </si>
  <si>
    <t>A,Double,0,Low,High,10,4,6,2,298.1812,4,</t>
  </si>
  <si>
    <t>A,Double,0,Low,High,10,4,6,3,219.6725,6,</t>
  </si>
  <si>
    <t>B,Double,45,Low,High,30,4,7,1,220.0364,0,</t>
  </si>
  <si>
    <t>B,Double,45,Low,High,30,4,7,2,290.8745,15,</t>
  </si>
  <si>
    <t>B,Double,45,Low,High,30,4,7,3,252.6025,11,</t>
  </si>
  <si>
    <t>B,Normal,45,Low,High,22,4,8,1,251.7459,58,</t>
  </si>
  <si>
    <t>B,Normal,45,Low,High,22,4,8,2,518.521,28,</t>
  </si>
  <si>
    <t>B,Normal,45,Low,High,22,4,8,3,350.6337,13,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</si>
</sst>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selection activeCell="A98" sqref="A98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31</v>
      </c>
    </row>
    <row r="27" spans="1:1" x14ac:dyDescent="0.25">
      <c r="A27" t="s">
        <v>32</v>
      </c>
    </row>
    <row r="28" spans="1:1" x14ac:dyDescent="0.25">
      <c r="A28" t="s">
        <v>33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  <row r="36" spans="1:1" x14ac:dyDescent="0.25">
      <c r="A36" t="s">
        <v>38</v>
      </c>
    </row>
    <row r="37" spans="1:1" x14ac:dyDescent="0.25">
      <c r="A37" t="s">
        <v>39</v>
      </c>
    </row>
    <row r="38" spans="1:1" x14ac:dyDescent="0.25">
      <c r="A38" t="s">
        <v>40</v>
      </c>
    </row>
    <row r="39" spans="1:1" x14ac:dyDescent="0.25">
      <c r="A39" t="s">
        <v>41</v>
      </c>
    </row>
    <row r="40" spans="1:1" x14ac:dyDescent="0.25">
      <c r="A40" t="s">
        <v>42</v>
      </c>
    </row>
    <row r="41" spans="1:1" x14ac:dyDescent="0.25">
      <c r="A41" t="s">
        <v>43</v>
      </c>
    </row>
    <row r="42" spans="1:1" x14ac:dyDescent="0.25">
      <c r="A42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71</v>
      </c>
    </row>
    <row r="69" spans="1:1" x14ac:dyDescent="0.25">
      <c r="A69" t="s">
        <v>70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6" spans="1:1" x14ac:dyDescent="0.25">
      <c r="A76" t="s">
        <v>78</v>
      </c>
    </row>
    <row r="77" spans="1:1" x14ac:dyDescent="0.25">
      <c r="A77" t="s">
        <v>79</v>
      </c>
    </row>
    <row r="78" spans="1:1" x14ac:dyDescent="0.25">
      <c r="A78" t="s">
        <v>80</v>
      </c>
    </row>
    <row r="79" spans="1:1" x14ac:dyDescent="0.25">
      <c r="A79" t="s">
        <v>81</v>
      </c>
    </row>
    <row r="80" spans="1:1" x14ac:dyDescent="0.25">
      <c r="A80" t="s">
        <v>82</v>
      </c>
    </row>
    <row r="81" spans="1:8" x14ac:dyDescent="0.25">
      <c r="A81" t="s">
        <v>83</v>
      </c>
    </row>
    <row r="82" spans="1:8" x14ac:dyDescent="0.25">
      <c r="A82" t="s">
        <v>84</v>
      </c>
    </row>
    <row r="83" spans="1:8" x14ac:dyDescent="0.25">
      <c r="A83" t="s">
        <v>85</v>
      </c>
    </row>
    <row r="84" spans="1:8" x14ac:dyDescent="0.25">
      <c r="A84" t="s">
        <v>86</v>
      </c>
    </row>
    <row r="85" spans="1:8" x14ac:dyDescent="0.25">
      <c r="A85" t="s">
        <v>87</v>
      </c>
    </row>
    <row r="86" spans="1:8" x14ac:dyDescent="0.25">
      <c r="A86" t="s">
        <v>88</v>
      </c>
    </row>
    <row r="87" spans="1:8" x14ac:dyDescent="0.25">
      <c r="A87" t="s">
        <v>89</v>
      </c>
    </row>
    <row r="88" spans="1:8" x14ac:dyDescent="0.25">
      <c r="A88" t="s">
        <v>90</v>
      </c>
    </row>
    <row r="89" spans="1:8" x14ac:dyDescent="0.25">
      <c r="A89" t="s">
        <v>91</v>
      </c>
      <c r="G89">
        <v>7.8</v>
      </c>
      <c r="H89">
        <v>4</v>
      </c>
    </row>
    <row r="90" spans="1:8" x14ac:dyDescent="0.25">
      <c r="A90" t="s">
        <v>92</v>
      </c>
    </row>
    <row r="91" spans="1:8" x14ac:dyDescent="0.25">
      <c r="A91" t="s">
        <v>93</v>
      </c>
      <c r="G91">
        <f>SQRT((G89*40)^2+(H89*40)^2)</f>
        <v>350.63371201297804</v>
      </c>
    </row>
    <row r="92" spans="1:8" x14ac:dyDescent="0.25">
      <c r="A92" t="s">
        <v>94</v>
      </c>
      <c r="G92">
        <f>270-1</f>
        <v>269</v>
      </c>
    </row>
    <row r="93" spans="1:8" x14ac:dyDescent="0.25">
      <c r="A93" t="s">
        <v>95</v>
      </c>
    </row>
    <row r="94" spans="1:8" x14ac:dyDescent="0.25">
      <c r="A94" t="s">
        <v>96</v>
      </c>
    </row>
    <row r="95" spans="1:8" x14ac:dyDescent="0.25">
      <c r="A95" t="s">
        <v>97</v>
      </c>
    </row>
    <row r="96" spans="1:8" x14ac:dyDescent="0.25">
      <c r="A96" t="s">
        <v>98</v>
      </c>
    </row>
    <row r="97" spans="1:1" x14ac:dyDescent="0.25">
      <c r="A97" t="s">
        <v>99</v>
      </c>
    </row>
    <row r="98" spans="1:1" x14ac:dyDescent="0.25">
      <c r="A98" t="s">
        <v>0</v>
      </c>
    </row>
    <row r="99" spans="1:1" x14ac:dyDescent="0.25">
      <c r="A99" t="s">
        <v>1</v>
      </c>
    </row>
    <row r="100" spans="1:1" x14ac:dyDescent="0.25">
      <c r="A10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Lan-orriak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Oihane Sanz Sagardui</cp:lastModifiedBy>
  <dcterms:created xsi:type="dcterms:W3CDTF">2015-06-05T18:17:20Z</dcterms:created>
  <dcterms:modified xsi:type="dcterms:W3CDTF">2026-01-10T08:17:55Z</dcterms:modified>
</cp:coreProperties>
</file>